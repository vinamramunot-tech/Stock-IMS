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st price" sheetId="1" r:id="rId1"/>
    <sheet name="rates t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₹#,##0.00"/>
  </numFmts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color rgb="FF0000"/>
    </font>
    <font>
      <sz val="11"/>
      <name val="Calibri"/>
      <color rgb="0000FF"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0" fillId="0" borderId="5" xfId="0" applyBorder="1"/>
    <xf numFmtId="0" fontId="5" fillId="0" borderId="6" xfId="0" applyFont="1" applyBorder="1"/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8" fillId="0" borderId="0" xfId="0" applyFont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"/>
  <sheetViews>
    <sheetView workbookViewId="0"/>
  </sheetViews>
  <cols>
    <col min="1" max="1" width="6.83203125" customWidth="1"/>
    <col min="2" max="2" width="35.83203125" customWidth="1"/>
    <col min="3" max="3" width="12.83203125" customWidth="1"/>
    <col min="4" max="4" width="8.83203125" customWidth="1"/>
    <col min="5" max="5" width="12.83203125" customWidth="1"/>
    <col min="6" max="6" width="10.83203125" customWidth="1"/>
    <col min="7" max="7" width="10.83203125" customWidth="1"/>
    <col min="8" max="8" width="15.83203125" customWidth="1"/>
    <col min="9" max="9" width="8.83203125" customWidth="1"/>
    <col min="10" max="10" width="8.83203125" customWidth="1"/>
    <col min="11" max="11" width="12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s="3" t="str">
        <v>MAVA GEMS — JEWELRY LATEST PRICE</v>
      </c>
      <c r="C1" s="2" t="str">
        <v>date: 28/06/26</v>
      </c>
    </row>
    <row r="2">
      <c r="A2" s="4" t="str">
        <v>MTL 24K (10g)</v>
      </c>
      <c r="B2" s="4">
        <v>160000</v>
      </c>
      <c r="C2" s="2" t="str">
        <v>09/06/26</v>
      </c>
    </row>
    <row r="3">
      <c r="A3" s="4" t="str">
        <v>wastage</v>
      </c>
      <c r="B3" s="4">
        <v>1.15</v>
      </c>
    </row>
    <row r="5">
      <c r="A5" s="5" t="str">
        <v>To fill compulsory</v>
      </c>
      <c r="B5" s="6" t="str">
        <v/>
      </c>
    </row>
    <row r="6">
      <c r="A6" s="7" t="str">
        <v>If required</v>
      </c>
      <c r="B6" s="6" t="str">
        <v/>
      </c>
    </row>
    <row r="8">
      <c r="A8" s="8" t="str">
        <v>S No.</v>
      </c>
      <c r="B8" s="9" t="str">
        <v>Description by 5</v>
      </c>
      <c r="C8" s="9" t="str">
        <v>Date of MFG</v>
      </c>
      <c r="D8" s="9" t="str">
        <v>Grading</v>
      </c>
      <c r="E8" s="9" t="str">
        <v/>
      </c>
      <c r="F8" s="9" t="str">
        <v>Gross WT</v>
      </c>
      <c r="G8" s="9" t="str">
        <v>Net WT</v>
      </c>
      <c r="H8" s="9" t="str">
        <v>Stone Description</v>
      </c>
      <c r="I8" s="9" t="str">
        <v>Pieces</v>
      </c>
      <c r="J8" s="9" t="str">
        <v>CTS</v>
      </c>
      <c r="K8" s="9" t="str">
        <v>@</v>
      </c>
      <c r="L8" s="9" t="str">
        <v>Total</v>
      </c>
      <c r="M8" s="9" t="str">
        <v>market C.P</v>
      </c>
      <c r="N8" s="9" t="str">
        <v>home C.P</v>
      </c>
      <c r="O8" s="9" t="str">
        <v>SP for market</v>
      </c>
    </row>
    <row r="9">
      <c r="A9" s="3">
        <v>1</v>
      </c>
      <c r="B9" s="3" t="str">
        <v>Emd Cab &amp; Dia Earrings</v>
      </c>
      <c r="C9" s="10" t="str">
        <v>06/06/26</v>
      </c>
      <c r="D9" s="6">
        <v>14.5</v>
      </c>
      <c r="E9" s="6" t="str">
        <v>MTL</v>
      </c>
      <c r="F9" s="6">
        <v>16.18</v>
      </c>
      <c r="G9" s="6">
        <f>F9-((J10+J11)/5)</f>
        <v>9.492</v>
      </c>
      <c r="H9" s="6" t="str">
        <v/>
      </c>
      <c r="I9" s="6" t="str">
        <v/>
      </c>
      <c r="J9" s="6" t="str">
        <v/>
      </c>
      <c r="K9" s="6">
        <f>($B$2/(10*24))*D9</f>
        <v>9666.666666666666</v>
      </c>
      <c r="L9" s="6">
        <f>G9*1.1500*K9</f>
        <v>105519.40000000001</v>
      </c>
      <c r="M9" s="10">
        <f>SUM(L9,L10,L11,F12,F13)/5</f>
        <v>70559</v>
      </c>
      <c r="N9" s="10">
        <f>SUM(L9,L11,(L10*0.5),F12,F13)/5</f>
        <v>55509</v>
      </c>
      <c r="O9" s="10">
        <f>((SUM(L9,L11,F12,F13)*1.4)+(L10))/5</f>
        <v>86742.59</v>
      </c>
    </row>
    <row r="10">
      <c r="A10" s="11" t="str">
        <v/>
      </c>
      <c r="B10" s="11" t="str">
        <v/>
      </c>
      <c r="C10" s="11" t="str">
        <v/>
      </c>
      <c r="D10" s="6" t="str">
        <v/>
      </c>
      <c r="E10" s="6" t="str">
        <v>Emerald</v>
      </c>
      <c r="F10" s="6" t="str">
        <v>-</v>
      </c>
      <c r="G10" s="6" t="str">
        <v>-</v>
      </c>
      <c r="H10" s="6" t="str">
        <v>emerald</v>
      </c>
      <c r="I10" s="6">
        <v>2</v>
      </c>
      <c r="J10" s="6">
        <v>30.1</v>
      </c>
      <c r="K10" s="6">
        <v>5000</v>
      </c>
      <c r="L10" s="6">
        <f>J10*K10</f>
        <v>150500</v>
      </c>
      <c r="M10" s="11" t="str">
        <v/>
      </c>
      <c r="N10" s="11" t="str">
        <v/>
      </c>
      <c r="O10" s="11" t="str">
        <v/>
      </c>
    </row>
    <row r="11">
      <c r="A11" s="11" t="str">
        <v/>
      </c>
      <c r="B11" s="11" t="str">
        <v/>
      </c>
      <c r="C11" s="11" t="str">
        <v/>
      </c>
      <c r="D11" s="6" t="str">
        <v/>
      </c>
      <c r="E11" s="6" t="str">
        <v>Diamond</v>
      </c>
      <c r="F11" s="6" t="str">
        <v>-</v>
      </c>
      <c r="G11" s="6" t="str">
        <v>-</v>
      </c>
      <c r="H11" s="6" t="str">
        <v>Diamond</v>
      </c>
      <c r="I11" s="6">
        <v>0</v>
      </c>
      <c r="J11" s="6">
        <v>3.34</v>
      </c>
      <c r="K11" s="6">
        <v>25000</v>
      </c>
      <c r="L11" s="6">
        <f>J11*K11</f>
        <v>83500</v>
      </c>
      <c r="M11" s="11" t="str">
        <v/>
      </c>
      <c r="N11" s="11" t="str">
        <v/>
      </c>
      <c r="O11" s="11" t="str">
        <v/>
      </c>
    </row>
    <row r="12">
      <c r="A12" s="11" t="str">
        <v/>
      </c>
      <c r="B12" s="11" t="str">
        <v/>
      </c>
      <c r="C12" s="11" t="str">
        <v/>
      </c>
      <c r="D12" s="6" t="str">
        <v/>
      </c>
      <c r="E12" s="6" t="str">
        <v>labour</v>
      </c>
      <c r="F12" s="6">
        <v>3000</v>
      </c>
      <c r="G12" s="6" t="str">
        <v/>
      </c>
      <c r="H12" s="6" t="str">
        <v/>
      </c>
      <c r="I12" s="6" t="str">
        <v/>
      </c>
      <c r="J12" s="6" t="str">
        <v/>
      </c>
      <c r="K12" s="6" t="str">
        <v/>
      </c>
      <c r="L12" s="6" t="str">
        <v/>
      </c>
      <c r="M12" s="11" t="str">
        <v/>
      </c>
      <c r="N12" s="11" t="str">
        <v/>
      </c>
      <c r="O12" s="11" t="str">
        <v/>
      </c>
    </row>
    <row r="13">
      <c r="A13" s="12" t="str">
        <v/>
      </c>
      <c r="B13" s="12" t="str">
        <v/>
      </c>
      <c r="C13" s="12" t="str">
        <v/>
      </c>
      <c r="D13" s="6" t="str">
        <v/>
      </c>
      <c r="E13" s="6" t="str">
        <v>tk commission</v>
      </c>
      <c r="F13" s="6">
        <f>SUM(L9,L10,L11,F12)*VLOOKUP(SUM(L9,L10,L11,F12),'rates tk'!$B$5:$C$10,2,TRUE)</f>
        <v>10275.58</v>
      </c>
      <c r="G13" s="6" t="str">
        <v/>
      </c>
      <c r="H13" s="6" t="str">
        <v/>
      </c>
      <c r="I13" s="6" t="str">
        <v/>
      </c>
      <c r="J13" s="6" t="str">
        <v/>
      </c>
      <c r="K13" s="6" t="str">
        <v/>
      </c>
      <c r="L13" s="6" t="str">
        <v/>
      </c>
      <c r="M13" s="12" t="str">
        <v/>
      </c>
      <c r="N13" s="12" t="str">
        <v/>
      </c>
      <c r="O13" s="12" t="str">
        <v/>
      </c>
    </row>
    <row r="15">
      <c r="A15" s="3">
        <v>2</v>
      </c>
      <c r="B15" s="3" t="str">
        <v>Ruby Pear Earring</v>
      </c>
      <c r="C15" s="10" t="str">
        <v>06/06/26</v>
      </c>
      <c r="D15" s="6">
        <v>14.5</v>
      </c>
      <c r="E15" s="6" t="str">
        <v>MTL</v>
      </c>
      <c r="F15" s="6">
        <v>3.25</v>
      </c>
      <c r="G15" s="6">
        <f>F15-((J16+J17)/5)</f>
        <v>2.5300000000000002</v>
      </c>
      <c r="H15" s="6" t="str">
        <v/>
      </c>
      <c r="I15" s="6" t="str">
        <v/>
      </c>
      <c r="J15" s="6" t="str">
        <v/>
      </c>
      <c r="K15" s="6">
        <f>($B$2/(10*24))*D15</f>
        <v>9666.666666666666</v>
      </c>
      <c r="L15" s="6">
        <f>G15*1.1500*K15</f>
        <v>28125.166666666664</v>
      </c>
      <c r="M15" s="10">
        <f>SUM(L15,L16,L17,F18,F19)/5</f>
        <v>23240.54</v>
      </c>
      <c r="N15" s="10">
        <f>SUM(L15,L16,L17,F18,F19)/5</f>
        <v>23240.54</v>
      </c>
      <c r="O15" s="10">
        <f>(SUM(L15,L16,L17,F18,F19)*1.4)/5</f>
        <v>32536.75</v>
      </c>
    </row>
    <row r="16">
      <c r="A16" s="11" t="str">
        <v/>
      </c>
      <c r="B16" s="11" t="str">
        <v/>
      </c>
      <c r="C16" s="11" t="str">
        <v/>
      </c>
      <c r="D16" s="6" t="str">
        <v/>
      </c>
      <c r="E16" s="6" t="str">
        <v>Ruby</v>
      </c>
      <c r="F16" s="6" t="str">
        <v>-</v>
      </c>
      <c r="G16" s="6" t="str">
        <v>-</v>
      </c>
      <c r="H16" s="6" t="str">
        <v>Ruby Pear</v>
      </c>
      <c r="I16" s="6">
        <v>0</v>
      </c>
      <c r="J16" s="6">
        <v>3.34</v>
      </c>
      <c r="K16" s="6">
        <v>20000</v>
      </c>
      <c r="L16" s="6">
        <f>J16*K16</f>
        <v>66800</v>
      </c>
      <c r="M16" s="11" t="str">
        <v/>
      </c>
      <c r="N16" s="11" t="str">
        <v/>
      </c>
      <c r="O16" s="11" t="str">
        <v/>
      </c>
    </row>
    <row r="17">
      <c r="A17" s="11" t="str">
        <v/>
      </c>
      <c r="B17" s="11" t="str">
        <v/>
      </c>
      <c r="C17" s="11" t="str">
        <v/>
      </c>
      <c r="D17" s="6" t="str">
        <v/>
      </c>
      <c r="E17" s="6" t="str">
        <v>Diamond</v>
      </c>
      <c r="F17" s="6" t="str">
        <v>-</v>
      </c>
      <c r="G17" s="6" t="str">
        <v>-</v>
      </c>
      <c r="H17" s="6" t="str">
        <v>dia round</v>
      </c>
      <c r="I17" s="6">
        <v>2</v>
      </c>
      <c r="J17" s="6">
        <v>0.26</v>
      </c>
      <c r="K17" s="6">
        <v>45000</v>
      </c>
      <c r="L17" s="6">
        <f>J17*K17</f>
        <v>11700</v>
      </c>
      <c r="M17" s="11" t="str">
        <v/>
      </c>
      <c r="N17" s="11" t="str">
        <v/>
      </c>
      <c r="O17" s="11" t="str">
        <v/>
      </c>
    </row>
    <row r="18">
      <c r="A18" s="11" t="str">
        <v/>
      </c>
      <c r="B18" s="11" t="str">
        <v/>
      </c>
      <c r="C18" s="11" t="str">
        <v/>
      </c>
      <c r="D18" s="6" t="str">
        <v/>
      </c>
      <c r="E18" s="6" t="str">
        <v>labour</v>
      </c>
      <c r="F18" s="6">
        <v>3000</v>
      </c>
      <c r="G18" s="6" t="str">
        <v/>
      </c>
      <c r="H18" s="6" t="str">
        <v/>
      </c>
      <c r="I18" s="6" t="str">
        <v/>
      </c>
      <c r="J18" s="6" t="str">
        <v/>
      </c>
      <c r="K18" s="6" t="str">
        <v/>
      </c>
      <c r="L18" s="6" t="str">
        <v/>
      </c>
      <c r="M18" s="11" t="str">
        <v/>
      </c>
      <c r="N18" s="11" t="str">
        <v/>
      </c>
      <c r="O18" s="11" t="str">
        <v/>
      </c>
    </row>
    <row r="19">
      <c r="A19" s="12" t="str">
        <v/>
      </c>
      <c r="B19" s="12" t="str">
        <v/>
      </c>
      <c r="C19" s="12" t="str">
        <v/>
      </c>
      <c r="D19" s="6" t="str">
        <v/>
      </c>
      <c r="E19" s="6" t="str">
        <v>tk commission</v>
      </c>
      <c r="F19" s="6">
        <f>SUM(L15,L16,L17,F18)*VLOOKUP(SUM(L15,L16,L17,F18),'rates tk'!$B$5:$C$10,2,TRUE)</f>
        <v>6577.51</v>
      </c>
      <c r="G19" s="6" t="str">
        <v/>
      </c>
      <c r="H19" s="6" t="str">
        <v/>
      </c>
      <c r="I19" s="6" t="str">
        <v/>
      </c>
      <c r="J19" s="6" t="str">
        <v/>
      </c>
      <c r="K19" s="6" t="str">
        <v/>
      </c>
      <c r="L19" s="6" t="str">
        <v/>
      </c>
      <c r="M19" s="12" t="str">
        <v/>
      </c>
      <c r="N19" s="12" t="str">
        <v/>
      </c>
      <c r="O19" s="12" t="str">
        <v/>
      </c>
    </row>
    <row r="21">
      <c r="A21" s="3">
        <v>3</v>
      </c>
      <c r="B21" s="3" t="str">
        <v>Snowflake Dia Earring</v>
      </c>
      <c r="C21" s="10" t="str">
        <v>07/06/26</v>
      </c>
      <c r="D21" s="6">
        <v>14.5</v>
      </c>
      <c r="E21" s="6" t="str">
        <v>MTL</v>
      </c>
      <c r="F21" s="6">
        <v>6.314</v>
      </c>
      <c r="G21" s="6">
        <f>F21-((J22+J23+J24)/5)</f>
        <v>5.858</v>
      </c>
      <c r="H21" s="6" t="str">
        <v/>
      </c>
      <c r="I21" s="6" t="str">
        <v/>
      </c>
      <c r="J21" s="6" t="str">
        <v/>
      </c>
      <c r="K21" s="6">
        <f>($B$2/(10*24))*D21</f>
        <v>9666.666666666666</v>
      </c>
      <c r="L21" s="6">
        <f>G21*1.1500*K21</f>
        <v>65121.43333333332</v>
      </c>
      <c r="M21" s="10">
        <f>SUM(L21,L22,L23,L24,F25,F26)/5</f>
        <v>33407.18</v>
      </c>
      <c r="N21" s="10">
        <f>SUM(L21,L22,L23,L24,F25,F26)/5</f>
        <v>33407.18</v>
      </c>
      <c r="O21" s="10">
        <f>(SUM(L21,L22,L23,L24,F25,F26)*1.4)/5</f>
        <v>46770.05</v>
      </c>
    </row>
    <row r="22">
      <c r="A22" s="11" t="str">
        <v/>
      </c>
      <c r="B22" s="11" t="str">
        <v/>
      </c>
      <c r="C22" s="11" t="str">
        <v/>
      </c>
      <c r="D22" s="6" t="str">
        <v/>
      </c>
      <c r="E22" s="6" t="str">
        <v>Diamond</v>
      </c>
      <c r="F22" s="6" t="str">
        <v>-</v>
      </c>
      <c r="G22" s="6" t="str">
        <v>-</v>
      </c>
      <c r="H22" s="6" t="str">
        <v>dia rds center piece</v>
      </c>
      <c r="I22" s="6">
        <v>2</v>
      </c>
      <c r="J22" s="6">
        <v>0.55</v>
      </c>
      <c r="K22" s="6">
        <v>55000</v>
      </c>
      <c r="L22" s="6">
        <f>J22*K22</f>
        <v>30250</v>
      </c>
      <c r="M22" s="11" t="str">
        <v/>
      </c>
      <c r="N22" s="11" t="str">
        <v/>
      </c>
      <c r="O22" s="11" t="str">
        <v/>
      </c>
    </row>
    <row r="23">
      <c r="A23" s="11" t="str">
        <v/>
      </c>
      <c r="B23" s="11" t="str">
        <v/>
      </c>
      <c r="C23" s="11" t="str">
        <v/>
      </c>
      <c r="D23" s="6" t="str">
        <v/>
      </c>
      <c r="E23" s="6" t="str">
        <v>Diamond</v>
      </c>
      <c r="F23" s="6" t="str">
        <v>-</v>
      </c>
      <c r="G23" s="6" t="str">
        <v>-</v>
      </c>
      <c r="H23" s="6" t="str">
        <v>dia rds small</v>
      </c>
      <c r="I23" s="6">
        <v>12</v>
      </c>
      <c r="J23" s="6">
        <v>0.67</v>
      </c>
      <c r="K23" s="6">
        <v>22000</v>
      </c>
      <c r="L23" s="6">
        <f>J23*K23</f>
        <v>14740</v>
      </c>
      <c r="M23" s="11" t="str">
        <v/>
      </c>
      <c r="N23" s="11" t="str">
        <v/>
      </c>
      <c r="O23" s="11" t="str">
        <v/>
      </c>
    </row>
    <row r="24">
      <c r="A24" s="11" t="str">
        <v/>
      </c>
      <c r="B24" s="11" t="str">
        <v/>
      </c>
      <c r="C24" s="11" t="str">
        <v/>
      </c>
      <c r="D24" s="6" t="str">
        <v/>
      </c>
      <c r="E24" s="6" t="str">
        <v>Diamond</v>
      </c>
      <c r="F24" s="6" t="str">
        <v>-</v>
      </c>
      <c r="G24" s="6" t="str">
        <v>-</v>
      </c>
      <c r="H24" s="6" t="str">
        <v>dia rd medium size</v>
      </c>
      <c r="I24" s="6">
        <v>12</v>
      </c>
      <c r="J24" s="6">
        <v>1.06</v>
      </c>
      <c r="K24" s="6">
        <v>45000</v>
      </c>
      <c r="L24" s="6">
        <f>J24*K24</f>
        <v>47700</v>
      </c>
      <c r="M24" s="11" t="str">
        <v/>
      </c>
      <c r="N24" s="11" t="str">
        <v/>
      </c>
      <c r="O24" s="11" t="str">
        <v/>
      </c>
    </row>
    <row r="25">
      <c r="A25" s="11" t="str">
        <v/>
      </c>
      <c r="B25" s="11" t="str">
        <v/>
      </c>
      <c r="C25" s="11" t="str">
        <v/>
      </c>
      <c r="D25" s="6" t="str">
        <v/>
      </c>
      <c r="E25" s="6" t="str">
        <v>labour</v>
      </c>
      <c r="F25" s="6">
        <v>2800</v>
      </c>
      <c r="G25" s="6" t="str">
        <v/>
      </c>
      <c r="H25" s="6" t="str">
        <v/>
      </c>
      <c r="I25" s="6" t="str">
        <v/>
      </c>
      <c r="J25" s="6" t="str">
        <v/>
      </c>
      <c r="K25" s="6" t="str">
        <v/>
      </c>
      <c r="L25" s="6" t="str">
        <v/>
      </c>
      <c r="M25" s="11" t="str">
        <v/>
      </c>
      <c r="N25" s="11" t="str">
        <v/>
      </c>
      <c r="O25" s="11" t="str">
        <v/>
      </c>
    </row>
    <row r="26">
      <c r="A26" s="12" t="str">
        <v/>
      </c>
      <c r="B26" s="12" t="str">
        <v/>
      </c>
      <c r="C26" s="12" t="str">
        <v/>
      </c>
      <c r="D26" s="6" t="str">
        <v/>
      </c>
      <c r="E26" s="6" t="str">
        <v>tk commission</v>
      </c>
      <c r="F26" s="6">
        <f>SUM(L21,L22,L23,L24,F25)*VLOOKUP(SUM(L21,L22,L23,L24,F25),'rates tk'!$B$5:$C$10,2,TRUE)</f>
        <v>6424.46</v>
      </c>
      <c r="G26" s="6" t="str">
        <v/>
      </c>
      <c r="H26" s="6" t="str">
        <v/>
      </c>
      <c r="I26" s="6" t="str">
        <v/>
      </c>
      <c r="J26" s="6" t="str">
        <v/>
      </c>
      <c r="K26" s="6" t="str">
        <v/>
      </c>
      <c r="L26" s="6" t="str">
        <v/>
      </c>
      <c r="M26" s="12" t="str">
        <v/>
      </c>
      <c r="N26" s="12" t="str">
        <v/>
      </c>
      <c r="O26" s="12" t="str">
        <v/>
      </c>
    </row>
    <row r="28">
      <c r="A28" s="3">
        <v>4</v>
      </c>
      <c r="B28" s="3" t="str">
        <v>Fancy Yellow Earring Pair</v>
      </c>
      <c r="C28" s="10" t="str">
        <v>08/06/26</v>
      </c>
      <c r="D28" s="6">
        <v>18.5</v>
      </c>
      <c r="E28" s="6" t="str">
        <v>MTL</v>
      </c>
      <c r="F28" s="6">
        <v>6.658</v>
      </c>
      <c r="G28" s="6">
        <f>F28-((J29+J30)/5)</f>
        <v>6.258</v>
      </c>
      <c r="H28" s="6" t="str">
        <v/>
      </c>
      <c r="I28" s="6" t="str">
        <v/>
      </c>
      <c r="J28" s="6" t="str">
        <v/>
      </c>
      <c r="K28" s="6">
        <f>($B$2/(10*24))*D28</f>
        <v>12333.333333333332</v>
      </c>
      <c r="L28" s="6">
        <f>G28*1.1500*K28</f>
        <v>88759.29999999999</v>
      </c>
      <c r="M28" s="10">
        <f>SUM(L28,L29,L30,F31,F32)/5</f>
        <v>34269.93</v>
      </c>
      <c r="N28" s="10">
        <f>SUM(L28,L29,L30,F31,F32)/5</f>
        <v>34269.93</v>
      </c>
      <c r="O28" s="10">
        <f>(SUM(L28,L29,L30,F31,F32)*1.4)/5</f>
        <v>47977.91</v>
      </c>
    </row>
    <row r="29">
      <c r="A29" s="11" t="str">
        <v/>
      </c>
      <c r="B29" s="11" t="str">
        <v/>
      </c>
      <c r="C29" s="11" t="str">
        <v/>
      </c>
      <c r="D29" s="6" t="str">
        <v/>
      </c>
      <c r="E29" s="6" t="str">
        <v>Diamond</v>
      </c>
      <c r="F29" s="6" t="str">
        <v>-</v>
      </c>
      <c r="G29" s="6" t="str">
        <v>-</v>
      </c>
      <c r="H29" s="6" t="str">
        <v>Dia 2Pcs</v>
      </c>
      <c r="I29" s="6">
        <v>2</v>
      </c>
      <c r="J29" s="6">
        <v>1.5</v>
      </c>
      <c r="K29" s="6">
        <v>42000</v>
      </c>
      <c r="L29" s="6">
        <f>J29*K29</f>
        <v>63000</v>
      </c>
      <c r="M29" s="11" t="str">
        <v/>
      </c>
      <c r="N29" s="11" t="str">
        <v/>
      </c>
      <c r="O29" s="11" t="str">
        <v/>
      </c>
    </row>
    <row r="30">
      <c r="A30" s="11" t="str">
        <v/>
      </c>
      <c r="B30" s="11" t="str">
        <v/>
      </c>
      <c r="C30" s="11" t="str">
        <v/>
      </c>
      <c r="D30" s="6" t="str">
        <v/>
      </c>
      <c r="E30" s="6" t="str">
        <v>Diamond</v>
      </c>
      <c r="F30" s="6" t="str">
        <v>-</v>
      </c>
      <c r="G30" s="6" t="str">
        <v>-</v>
      </c>
      <c r="H30" s="6" t="str">
        <v>Dia 30Pcs</v>
      </c>
      <c r="I30" s="6">
        <v>30</v>
      </c>
      <c r="J30" s="6">
        <v>0.5</v>
      </c>
      <c r="K30" s="6">
        <v>18000</v>
      </c>
      <c r="L30" s="6">
        <f>J30*K30</f>
        <v>9000</v>
      </c>
      <c r="M30" s="11" t="str">
        <v/>
      </c>
      <c r="N30" s="11" t="str">
        <v/>
      </c>
      <c r="O30" s="11" t="str">
        <v/>
      </c>
    </row>
    <row r="31">
      <c r="A31" s="11" t="str">
        <v/>
      </c>
      <c r="B31" s="11" t="str">
        <v/>
      </c>
      <c r="C31" s="11" t="str">
        <v/>
      </c>
      <c r="D31" s="6" t="str">
        <v/>
      </c>
      <c r="E31" s="6" t="str">
        <v>labour</v>
      </c>
      <c r="F31" s="6">
        <v>4000</v>
      </c>
      <c r="G31" s="6" t="str">
        <v/>
      </c>
      <c r="H31" s="6" t="str">
        <v/>
      </c>
      <c r="I31" s="6" t="str">
        <v/>
      </c>
      <c r="J31" s="6" t="str">
        <v/>
      </c>
      <c r="K31" s="6" t="str">
        <v/>
      </c>
      <c r="L31" s="6" t="str">
        <v/>
      </c>
      <c r="M31" s="11" t="str">
        <v/>
      </c>
      <c r="N31" s="11" t="str">
        <v/>
      </c>
      <c r="O31" s="11" t="str">
        <v/>
      </c>
    </row>
    <row r="32">
      <c r="A32" s="12" t="str">
        <v/>
      </c>
      <c r="B32" s="12" t="str">
        <v/>
      </c>
      <c r="C32" s="12" t="str">
        <v/>
      </c>
      <c r="D32" s="6" t="str">
        <v/>
      </c>
      <c r="E32" s="6" t="str">
        <v>tk commission</v>
      </c>
      <c r="F32" s="6">
        <f>SUM(L28,L29,L30,F31)*VLOOKUP(SUM(L28,L29,L30,F31),'rates tk'!$B$5:$C$10,2,TRUE)</f>
        <v>6590.37</v>
      </c>
      <c r="G32" s="6" t="str">
        <v/>
      </c>
      <c r="H32" s="6" t="str">
        <v/>
      </c>
      <c r="I32" s="6" t="str">
        <v/>
      </c>
      <c r="J32" s="6" t="str">
        <v/>
      </c>
      <c r="K32" s="6" t="str">
        <v/>
      </c>
      <c r="L32" s="6" t="str">
        <v/>
      </c>
      <c r="M32" s="12" t="str">
        <v/>
      </c>
      <c r="N32" s="12" t="str">
        <v/>
      </c>
      <c r="O32" s="12" t="str">
        <v/>
      </c>
    </row>
    <row r="34">
      <c r="A34" s="3">
        <v>5</v>
      </c>
      <c r="B34" s="3" t="str">
        <v>Dia Ov + Oct Earrings WG</v>
      </c>
      <c r="C34" s="10" t="str">
        <v>08/06/26</v>
      </c>
      <c r="D34" s="6">
        <v>14.5</v>
      </c>
      <c r="E34" s="6" t="str">
        <v>MTL</v>
      </c>
      <c r="F34" s="6">
        <v>1.768</v>
      </c>
      <c r="G34" s="6">
        <f>F34-((J35)/5)</f>
        <v>1.604</v>
      </c>
      <c r="H34" s="6" t="str">
        <v/>
      </c>
      <c r="I34" s="6" t="str">
        <v/>
      </c>
      <c r="J34" s="6" t="str">
        <v/>
      </c>
      <c r="K34" s="6">
        <f>($B$2/(10*24))*D34</f>
        <v>9666.666666666666</v>
      </c>
      <c r="L34" s="6">
        <f>G34*1.1500*K34</f>
        <v>17831.13333333333</v>
      </c>
      <c r="M34" s="10">
        <f>SUM(L34,L35,F36,F37)/5</f>
        <v>9597.12</v>
      </c>
      <c r="N34" s="10">
        <f>SUM(L34,L35,F36,F37)/5</f>
        <v>9597.12</v>
      </c>
      <c r="O34" s="10">
        <f>(SUM(L34,L35,F36,F37)*1.4)/5</f>
        <v>13435.97</v>
      </c>
    </row>
    <row r="35">
      <c r="A35" s="11" t="str">
        <v/>
      </c>
      <c r="B35" s="11" t="str">
        <v/>
      </c>
      <c r="C35" s="11" t="str">
        <v/>
      </c>
      <c r="D35" s="6" t="str">
        <v/>
      </c>
      <c r="E35" s="6" t="str">
        <v>Diamond</v>
      </c>
      <c r="F35" s="6" t="str">
        <v>-</v>
      </c>
      <c r="G35" s="6" t="str">
        <v>-</v>
      </c>
      <c r="H35" s="6" t="str">
        <v>Dia</v>
      </c>
      <c r="I35" s="6">
        <v>0</v>
      </c>
      <c r="J35" s="6">
        <v>0.82</v>
      </c>
      <c r="K35" s="6">
        <v>30000</v>
      </c>
      <c r="L35" s="6">
        <f>J35*K35</f>
        <v>24600</v>
      </c>
      <c r="M35" s="11" t="str">
        <v/>
      </c>
      <c r="N35" s="11" t="str">
        <v/>
      </c>
      <c r="O35" s="11" t="str">
        <v/>
      </c>
    </row>
    <row r="36">
      <c r="A36" s="11" t="str">
        <v/>
      </c>
      <c r="B36" s="11" t="str">
        <v/>
      </c>
      <c r="C36" s="11" t="str">
        <v/>
      </c>
      <c r="D36" s="6" t="str">
        <v/>
      </c>
      <c r="E36" s="6" t="str">
        <v>labour</v>
      </c>
      <c r="F36" s="6">
        <v>2000</v>
      </c>
      <c r="G36" s="6" t="str">
        <v/>
      </c>
      <c r="H36" s="6" t="str">
        <v/>
      </c>
      <c r="I36" s="6" t="str">
        <v/>
      </c>
      <c r="J36" s="6" t="str">
        <v/>
      </c>
      <c r="K36" s="6" t="str">
        <v/>
      </c>
      <c r="L36" s="6" t="str">
        <v/>
      </c>
      <c r="M36" s="11" t="str">
        <v/>
      </c>
      <c r="N36" s="11" t="str">
        <v/>
      </c>
      <c r="O36" s="11" t="str">
        <v/>
      </c>
    </row>
    <row r="37">
      <c r="A37" s="12" t="str">
        <v/>
      </c>
      <c r="B37" s="12" t="str">
        <v/>
      </c>
      <c r="C37" s="12" t="str">
        <v/>
      </c>
      <c r="D37" s="6" t="str">
        <v/>
      </c>
      <c r="E37" s="6" t="str">
        <v>tk commission</v>
      </c>
      <c r="F37" s="6">
        <f>SUM(L34,L35,F36)*VLOOKUP(SUM(L34,L35,F36),'rates tk'!$B$5:$C$10,2,TRUE)</f>
        <v>3554.49</v>
      </c>
      <c r="G37" s="6" t="str">
        <v/>
      </c>
      <c r="H37" s="6" t="str">
        <v/>
      </c>
      <c r="I37" s="6" t="str">
        <v/>
      </c>
      <c r="J37" s="6" t="str">
        <v/>
      </c>
      <c r="K37" s="6" t="str">
        <v/>
      </c>
      <c r="L37" s="6" t="str">
        <v/>
      </c>
      <c r="M37" s="12" t="str">
        <v/>
      </c>
      <c r="N37" s="12" t="str">
        <v/>
      </c>
      <c r="O37" s="12" t="str">
        <v/>
      </c>
    </row>
    <row r="39">
      <c r="A39" s="3">
        <v>6</v>
      </c>
      <c r="B39" s="3" t="str">
        <v>Yellow Dia+ Cushion Emerald Earrings</v>
      </c>
      <c r="C39" s="10" t="str">
        <v>08/06/26</v>
      </c>
      <c r="D39" s="6">
        <v>14.5</v>
      </c>
      <c r="E39" s="6" t="str">
        <v>MTL</v>
      </c>
      <c r="F39" s="6">
        <v>8.402</v>
      </c>
      <c r="G39" s="6">
        <f>F39-((J40+J41+J42+J43)/5)</f>
        <v>6.931999999999999</v>
      </c>
      <c r="H39" s="6" t="str">
        <v/>
      </c>
      <c r="I39" s="6" t="str">
        <v/>
      </c>
      <c r="J39" s="6" t="str">
        <v/>
      </c>
      <c r="K39" s="6">
        <f>($B$2/(10*24))*D39</f>
        <v>9666.666666666666</v>
      </c>
      <c r="L39" s="6">
        <f>G39*1.1500*K39</f>
        <v>77060.73333333331</v>
      </c>
      <c r="M39" s="10">
        <f>SUM(L39,L40,L41,L42,L43,F44,F45)/5</f>
        <v>56927.88</v>
      </c>
      <c r="N39" s="10">
        <f>SUM(L39,L41,L42,L43,(L40*0.5),F44,F45)/5</f>
        <v>47973.98</v>
      </c>
      <c r="O39" s="10">
        <f>((SUM(L39,L41,L42,L43,F44,F45)*1.4)+(L40))/5</f>
        <v>72535.91</v>
      </c>
    </row>
    <row r="40">
      <c r="A40" s="11" t="str">
        <v/>
      </c>
      <c r="B40" s="11" t="str">
        <v/>
      </c>
      <c r="C40" s="11" t="str">
        <v/>
      </c>
      <c r="D40" s="6" t="str">
        <v/>
      </c>
      <c r="E40" s="6" t="str">
        <v>Emerald</v>
      </c>
      <c r="F40" s="6" t="str">
        <v>-</v>
      </c>
      <c r="G40" s="6" t="str">
        <v>-</v>
      </c>
      <c r="H40" s="6" t="str">
        <v>Emerald</v>
      </c>
      <c r="I40" s="6">
        <v>2</v>
      </c>
      <c r="J40" s="6">
        <v>3.91</v>
      </c>
      <c r="K40" s="6">
        <v>22900</v>
      </c>
      <c r="L40" s="6">
        <f>J40*K40</f>
        <v>89539</v>
      </c>
      <c r="M40" s="11" t="str">
        <v/>
      </c>
      <c r="N40" s="11" t="str">
        <v/>
      </c>
      <c r="O40" s="11" t="str">
        <v/>
      </c>
    </row>
    <row r="41">
      <c r="A41" s="11" t="str">
        <v/>
      </c>
      <c r="B41" s="11" t="str">
        <v/>
      </c>
      <c r="C41" s="11" t="str">
        <v/>
      </c>
      <c r="D41" s="6" t="str">
        <v/>
      </c>
      <c r="E41" s="6" t="str">
        <v>Diamond</v>
      </c>
      <c r="F41" s="6" t="str">
        <v>-</v>
      </c>
      <c r="G41" s="6" t="str">
        <v>-</v>
      </c>
      <c r="H41" s="6" t="str">
        <v>Yellow Dia</v>
      </c>
      <c r="I41" s="6">
        <v>0</v>
      </c>
      <c r="J41" s="6">
        <v>1.53</v>
      </c>
      <c r="K41" s="6">
        <v>40000</v>
      </c>
      <c r="L41" s="6">
        <f>J41*K41</f>
        <v>61200</v>
      </c>
      <c r="M41" s="11" t="str">
        <v/>
      </c>
      <c r="N41" s="11" t="str">
        <v/>
      </c>
      <c r="O41" s="11" t="str">
        <v/>
      </c>
    </row>
    <row r="42">
      <c r="A42" s="11" t="str">
        <v/>
      </c>
      <c r="B42" s="11" t="str">
        <v/>
      </c>
      <c r="C42" s="11" t="str">
        <v/>
      </c>
      <c r="D42" s="6" t="str">
        <v/>
      </c>
      <c r="E42" s="6" t="str">
        <v>Diamond</v>
      </c>
      <c r="F42" s="6" t="str">
        <v>-</v>
      </c>
      <c r="G42" s="6" t="str">
        <v>-</v>
      </c>
      <c r="H42" s="6" t="str">
        <v>Dia +3</v>
      </c>
      <c r="I42" s="6">
        <v>0</v>
      </c>
      <c r="J42" s="6">
        <v>0.16</v>
      </c>
      <c r="K42" s="6">
        <v>21200</v>
      </c>
      <c r="L42" s="6">
        <f>J42*K42</f>
        <v>3392</v>
      </c>
      <c r="M42" s="11" t="str">
        <v/>
      </c>
      <c r="N42" s="11" t="str">
        <v/>
      </c>
      <c r="O42" s="11" t="str">
        <v/>
      </c>
    </row>
    <row r="43">
      <c r="A43" s="11" t="str">
        <v/>
      </c>
      <c r="B43" s="11" t="str">
        <v/>
      </c>
      <c r="C43" s="11" t="str">
        <v/>
      </c>
      <c r="D43" s="6" t="str">
        <v/>
      </c>
      <c r="E43" s="6" t="str">
        <v>Diamond</v>
      </c>
      <c r="F43" s="6" t="str">
        <v>-</v>
      </c>
      <c r="G43" s="6" t="str">
        <v>-</v>
      </c>
      <c r="H43" s="6" t="str">
        <v>Dia 2.4mm</v>
      </c>
      <c r="I43" s="6">
        <v>0</v>
      </c>
      <c r="J43" s="6">
        <v>1.75</v>
      </c>
      <c r="K43" s="6">
        <v>22000</v>
      </c>
      <c r="L43" s="6">
        <f>J43*K43</f>
        <v>38500</v>
      </c>
      <c r="M43" s="11" t="str">
        <v/>
      </c>
      <c r="N43" s="11" t="str">
        <v/>
      </c>
      <c r="O43" s="11" t="str">
        <v/>
      </c>
    </row>
    <row r="44">
      <c r="A44" s="11" t="str">
        <v/>
      </c>
      <c r="B44" s="11" t="str">
        <v/>
      </c>
      <c r="C44" s="11" t="str">
        <v/>
      </c>
      <c r="D44" s="6" t="str">
        <v/>
      </c>
      <c r="E44" s="6" t="str">
        <v>labour</v>
      </c>
      <c r="F44" s="6">
        <v>4000</v>
      </c>
      <c r="G44" s="6" t="str">
        <v/>
      </c>
      <c r="H44" s="6" t="str">
        <v/>
      </c>
      <c r="I44" s="6" t="str">
        <v/>
      </c>
      <c r="J44" s="6" t="str">
        <v/>
      </c>
      <c r="K44" s="6" t="str">
        <v/>
      </c>
      <c r="L44" s="6" t="str">
        <v/>
      </c>
      <c r="M44" s="11" t="str">
        <v/>
      </c>
      <c r="N44" s="11" t="str">
        <v/>
      </c>
      <c r="O44" s="11" t="str">
        <v/>
      </c>
    </row>
    <row r="45">
      <c r="A45" s="12" t="str">
        <v/>
      </c>
      <c r="B45" s="12" t="str">
        <v/>
      </c>
      <c r="C45" s="12" t="str">
        <v/>
      </c>
      <c r="D45" s="6" t="str">
        <v/>
      </c>
      <c r="E45" s="6" t="str">
        <v>tk commission</v>
      </c>
      <c r="F45" s="6">
        <f>SUM(L39,L40,L41,L42,L43,F44)*VLOOKUP(SUM(L39,L40,L41,L42,L43,F44),'rates tk'!$B$5:$C$10,2,TRUE)</f>
        <v>10947.67</v>
      </c>
      <c r="G45" s="6" t="str">
        <v/>
      </c>
      <c r="H45" s="6" t="str">
        <v/>
      </c>
      <c r="I45" s="6" t="str">
        <v/>
      </c>
      <c r="J45" s="6" t="str">
        <v/>
      </c>
      <c r="K45" s="6" t="str">
        <v/>
      </c>
      <c r="L45" s="6" t="str">
        <v/>
      </c>
      <c r="M45" s="12" t="str">
        <v/>
      </c>
      <c r="N45" s="12" t="str">
        <v/>
      </c>
      <c r="O45" s="12" t="str">
        <v/>
      </c>
    </row>
    <row r="47">
      <c r="A47" s="3">
        <v>7</v>
      </c>
      <c r="B47" s="3" t="str">
        <v>Emd Half Moon Carving Earring 2Pc Set</v>
      </c>
      <c r="C47" s="10" t="str">
        <v>08/06/26</v>
      </c>
      <c r="D47" s="6">
        <v>14.5</v>
      </c>
      <c r="E47" s="6" t="str">
        <v>MTL</v>
      </c>
      <c r="F47" s="6">
        <v>6.35</v>
      </c>
      <c r="G47" s="6">
        <f>F47-((J48+J49+J50)/5)</f>
        <v>3.0719999999999987</v>
      </c>
      <c r="H47" s="6" t="str">
        <v/>
      </c>
      <c r="I47" s="6" t="str">
        <v/>
      </c>
      <c r="J47" s="6" t="str">
        <v/>
      </c>
      <c r="K47" s="6">
        <f>($B$2/(10*24))*D47</f>
        <v>9666.666666666666</v>
      </c>
      <c r="L47" s="6">
        <f>G47*1.1500*K47</f>
        <v>34150.39999999998</v>
      </c>
      <c r="M47" s="10">
        <f>SUM(L47,L48,L49,L50,F51,F52)/5</f>
        <v>13682.56</v>
      </c>
      <c r="N47" s="10">
        <f>SUM(L47,L49,L50,(L48*0.5),F51,F52)/5</f>
        <v>11281.06</v>
      </c>
      <c r="O47" s="10">
        <f>((SUM(L47,L49,L50,F51,F52)*1.4)+(L48))/5</f>
        <v>17234.39</v>
      </c>
    </row>
    <row r="48">
      <c r="A48" s="11" t="str">
        <v/>
      </c>
      <c r="B48" s="11" t="str">
        <v/>
      </c>
      <c r="C48" s="11" t="str">
        <v/>
      </c>
      <c r="D48" s="6" t="str">
        <v/>
      </c>
      <c r="E48" s="6" t="str">
        <v>Emerald</v>
      </c>
      <c r="F48" s="6" t="str">
        <v>-</v>
      </c>
      <c r="G48" s="6" t="str">
        <v>-</v>
      </c>
      <c r="H48" s="6" t="str">
        <v>Emerald</v>
      </c>
      <c r="I48" s="6">
        <v>2</v>
      </c>
      <c r="J48" s="6">
        <v>16.01</v>
      </c>
      <c r="K48" s="6">
        <v>1500</v>
      </c>
      <c r="L48" s="6">
        <f>J48*K48</f>
        <v>24015</v>
      </c>
      <c r="M48" s="11" t="str">
        <v/>
      </c>
      <c r="N48" s="11" t="str">
        <v/>
      </c>
      <c r="O48" s="11" t="str">
        <v/>
      </c>
    </row>
    <row r="49">
      <c r="A49" s="11" t="str">
        <v/>
      </c>
      <c r="B49" s="11" t="str">
        <v/>
      </c>
      <c r="C49" s="11" t="str">
        <v/>
      </c>
      <c r="D49" s="6" t="str">
        <v/>
      </c>
      <c r="E49" s="6" t="str">
        <v>Diamond</v>
      </c>
      <c r="F49" s="6" t="str">
        <v>-</v>
      </c>
      <c r="G49" s="6" t="str">
        <v>-</v>
      </c>
      <c r="H49" s="6" t="str">
        <v>Dia</v>
      </c>
      <c r="I49" s="6">
        <v>0</v>
      </c>
      <c r="J49" s="6">
        <v>0.17</v>
      </c>
      <c r="K49" s="6">
        <v>18000</v>
      </c>
      <c r="L49" s="6">
        <f>J49*K49</f>
        <v>3060</v>
      </c>
      <c r="M49" s="11" t="str">
        <v/>
      </c>
      <c r="N49" s="11" t="str">
        <v/>
      </c>
      <c r="O49" s="11" t="str">
        <v/>
      </c>
    </row>
    <row r="50">
      <c r="A50" s="11" t="str">
        <v/>
      </c>
      <c r="B50" s="11" t="str">
        <v/>
      </c>
      <c r="C50" s="11" t="str">
        <v/>
      </c>
      <c r="D50" s="6" t="str">
        <v/>
      </c>
      <c r="E50" s="6" t="str">
        <v>Polki</v>
      </c>
      <c r="F50" s="6" t="str">
        <v>-</v>
      </c>
      <c r="G50" s="6" t="str">
        <v>-</v>
      </c>
      <c r="H50" s="6" t="str">
        <v>Polki</v>
      </c>
      <c r="I50" s="6">
        <v>0</v>
      </c>
      <c r="J50" s="6">
        <v>0.21</v>
      </c>
      <c r="K50" s="6">
        <v>1500</v>
      </c>
      <c r="L50" s="6">
        <f>J50*K50</f>
        <v>315</v>
      </c>
      <c r="M50" s="11" t="str">
        <v/>
      </c>
      <c r="N50" s="11" t="str">
        <v/>
      </c>
      <c r="O50" s="11" t="str">
        <v/>
      </c>
    </row>
    <row r="51">
      <c r="A51" s="11" t="str">
        <v/>
      </c>
      <c r="B51" s="11" t="str">
        <v/>
      </c>
      <c r="C51" s="11" t="str">
        <v/>
      </c>
      <c r="D51" s="6" t="str">
        <v/>
      </c>
      <c r="E51" s="6" t="str">
        <v>labour</v>
      </c>
      <c r="F51" s="6">
        <v>3000</v>
      </c>
      <c r="G51" s="6" t="str">
        <v/>
      </c>
      <c r="H51" s="6" t="str">
        <v/>
      </c>
      <c r="I51" s="6" t="str">
        <v/>
      </c>
      <c r="J51" s="6" t="str">
        <v/>
      </c>
      <c r="K51" s="6" t="str">
        <v/>
      </c>
      <c r="L51" s="6" t="str">
        <v/>
      </c>
      <c r="M51" s="11" t="str">
        <v/>
      </c>
      <c r="N51" s="11" t="str">
        <v/>
      </c>
      <c r="O51" s="11" t="str">
        <v/>
      </c>
    </row>
    <row r="52">
      <c r="A52" s="12" t="str">
        <v/>
      </c>
      <c r="B52" s="12" t="str">
        <v/>
      </c>
      <c r="C52" s="12" t="str">
        <v/>
      </c>
      <c r="D52" s="6" t="str">
        <v/>
      </c>
      <c r="E52" s="6" t="str">
        <v>tk commission</v>
      </c>
      <c r="F52" s="6">
        <f>SUM(L47,L48,L49,L50,F51)*VLOOKUP(SUM(L47,L48,L49,L50,F51),'rates tk'!$B$5:$C$10,2,TRUE)</f>
        <v>3872.42</v>
      </c>
      <c r="G52" s="6" t="str">
        <v/>
      </c>
      <c r="H52" s="6" t="str">
        <v/>
      </c>
      <c r="I52" s="6" t="str">
        <v/>
      </c>
      <c r="J52" s="6" t="str">
        <v/>
      </c>
      <c r="K52" s="6" t="str">
        <v/>
      </c>
      <c r="L52" s="6" t="str">
        <v/>
      </c>
      <c r="M52" s="12" t="str">
        <v/>
      </c>
      <c r="N52" s="12" t="str">
        <v/>
      </c>
      <c r="O52" s="12" t="str">
        <v/>
      </c>
    </row>
    <row r="54">
      <c r="A54" s="3">
        <v>8</v>
      </c>
      <c r="B54" s="3" t="str">
        <v>Princess Diamond Bracelet - Rose Gold</v>
      </c>
      <c r="C54" s="10" t="str">
        <v>08/06/26</v>
      </c>
      <c r="D54" s="6">
        <v>14.5</v>
      </c>
      <c r="E54" s="6" t="str">
        <v>MTL</v>
      </c>
      <c r="F54" s="6">
        <v>10.427</v>
      </c>
      <c r="G54" s="6">
        <f>F54-((J55)/5)</f>
        <v>9.222999999999999</v>
      </c>
      <c r="H54" s="6" t="str">
        <v/>
      </c>
      <c r="I54" s="6" t="str">
        <v/>
      </c>
      <c r="J54" s="6" t="str">
        <v/>
      </c>
      <c r="K54" s="6">
        <f>($B$2/(10*24))*D54</f>
        <v>9666.666666666666</v>
      </c>
      <c r="L54" s="6">
        <f>G54*1.1500*K54</f>
        <v>102529.01666666665</v>
      </c>
      <c r="M54" s="10">
        <f>SUM(L54,L55,F56,F57)/5</f>
        <v>48033.24</v>
      </c>
      <c r="N54" s="10">
        <f>SUM(L54,L55,F56,F57)/5</f>
        <v>48033.24</v>
      </c>
      <c r="O54" s="10">
        <f>(SUM(L54,L55,F56,F57)*1.4)/5</f>
        <v>67246.53</v>
      </c>
    </row>
    <row r="55">
      <c r="A55" s="11" t="str">
        <v/>
      </c>
      <c r="B55" s="11" t="str">
        <v/>
      </c>
      <c r="C55" s="11" t="str">
        <v/>
      </c>
      <c r="D55" s="6" t="str">
        <v/>
      </c>
      <c r="E55" s="6" t="str">
        <v>Diamond</v>
      </c>
      <c r="F55" s="6" t="str">
        <v>-</v>
      </c>
      <c r="G55" s="6" t="str">
        <v>-</v>
      </c>
      <c r="H55" s="6" t="str">
        <v>Dia</v>
      </c>
      <c r="I55" s="6">
        <v>0</v>
      </c>
      <c r="J55" s="6">
        <v>6.02</v>
      </c>
      <c r="K55" s="6">
        <v>20000</v>
      </c>
      <c r="L55" s="6">
        <f>J55*K55</f>
        <v>120400</v>
      </c>
      <c r="M55" s="11" t="str">
        <v/>
      </c>
      <c r="N55" s="11" t="str">
        <v/>
      </c>
      <c r="O55" s="11" t="str">
        <v/>
      </c>
    </row>
    <row r="56">
      <c r="A56" s="11" t="str">
        <v/>
      </c>
      <c r="B56" s="11" t="str">
        <v/>
      </c>
      <c r="C56" s="11" t="str">
        <v/>
      </c>
      <c r="D56" s="6" t="str">
        <v/>
      </c>
      <c r="E56" s="6" t="str">
        <v>labour</v>
      </c>
      <c r="F56" s="6">
        <v>8000</v>
      </c>
      <c r="G56" s="6" t="str">
        <v/>
      </c>
      <c r="H56" s="6" t="str">
        <v/>
      </c>
      <c r="I56" s="6" t="str">
        <v/>
      </c>
      <c r="J56" s="6" t="str">
        <v/>
      </c>
      <c r="K56" s="6" t="str">
        <v/>
      </c>
      <c r="L56" s="6" t="str">
        <v/>
      </c>
      <c r="M56" s="11" t="str">
        <v/>
      </c>
      <c r="N56" s="11" t="str">
        <v/>
      </c>
      <c r="O56" s="11" t="str">
        <v/>
      </c>
    </row>
    <row r="57">
      <c r="A57" s="12" t="str">
        <v/>
      </c>
      <c r="B57" s="12" t="str">
        <v/>
      </c>
      <c r="C57" s="12" t="str">
        <v/>
      </c>
      <c r="D57" s="6" t="str">
        <v/>
      </c>
      <c r="E57" s="6" t="str">
        <v>tk commission</v>
      </c>
      <c r="F57" s="6">
        <f>SUM(L54,L55,F56)*VLOOKUP(SUM(L54,L55,F56),'rates tk'!$B$5:$C$10,2,TRUE)</f>
        <v>9237.16</v>
      </c>
      <c r="G57" s="6" t="str">
        <v/>
      </c>
      <c r="H57" s="6" t="str">
        <v/>
      </c>
      <c r="I57" s="6" t="str">
        <v/>
      </c>
      <c r="J57" s="6" t="str">
        <v/>
      </c>
      <c r="K57" s="6" t="str">
        <v/>
      </c>
      <c r="L57" s="6" t="str">
        <v/>
      </c>
      <c r="M57" s="12" t="str">
        <v/>
      </c>
      <c r="N57" s="12" t="str">
        <v/>
      </c>
      <c r="O57" s="12" t="str">
        <v/>
      </c>
    </row>
    <row r="59">
      <c r="A59" s="3">
        <v>9</v>
      </c>
      <c r="B59" s="3" t="str">
        <v>Single Emd Pendant</v>
      </c>
      <c r="C59" s="10" t="str">
        <v>08/06/26</v>
      </c>
      <c r="D59" s="6">
        <v>14.5</v>
      </c>
      <c r="E59" s="6" t="str">
        <v>MTL</v>
      </c>
      <c r="F59" s="6">
        <v>3.736</v>
      </c>
      <c r="G59" s="6">
        <f>F59-((J60+J61)/5)</f>
        <v>2.902</v>
      </c>
      <c r="H59" s="6" t="str">
        <v/>
      </c>
      <c r="I59" s="6" t="str">
        <v/>
      </c>
      <c r="J59" s="6" t="str">
        <v/>
      </c>
      <c r="K59" s="6">
        <f>($B$2/(10*24))*D59</f>
        <v>9666.666666666666</v>
      </c>
      <c r="L59" s="6">
        <f>G59*1.1500*K59</f>
        <v>32260.566666666666</v>
      </c>
      <c r="M59" s="10">
        <f>SUM(L59,L60,L61,F62,F63)/5</f>
        <v>28534.11</v>
      </c>
      <c r="N59" s="10">
        <f>SUM(L59,L61,(L60*0.5),F62,F63)/5</f>
        <v>21933.11</v>
      </c>
      <c r="O59" s="10">
        <f>((SUM(L59,L61,F62,F63)*1.4)+(L60))/5</f>
        <v>34666.96</v>
      </c>
    </row>
    <row r="60">
      <c r="A60" s="11" t="str">
        <v/>
      </c>
      <c r="B60" s="11" t="str">
        <v/>
      </c>
      <c r="C60" s="11" t="str">
        <v/>
      </c>
      <c r="D60" s="6" t="str">
        <v/>
      </c>
      <c r="E60" s="6" t="str">
        <v>Emerald</v>
      </c>
      <c r="F60" s="6" t="str">
        <v>-</v>
      </c>
      <c r="G60" s="6" t="str">
        <v>-</v>
      </c>
      <c r="H60" s="6" t="str">
        <v>Emerald</v>
      </c>
      <c r="I60" s="6">
        <v>0</v>
      </c>
      <c r="J60" s="6">
        <v>2.87</v>
      </c>
      <c r="K60" s="6">
        <v>23000</v>
      </c>
      <c r="L60" s="6">
        <f>J60*K60</f>
        <v>66010</v>
      </c>
      <c r="M60" s="11" t="str">
        <v/>
      </c>
      <c r="N60" s="11" t="str">
        <v/>
      </c>
      <c r="O60" s="11" t="str">
        <v/>
      </c>
    </row>
    <row r="61">
      <c r="A61" s="11" t="str">
        <v/>
      </c>
      <c r="B61" s="11" t="str">
        <v/>
      </c>
      <c r="C61" s="11" t="str">
        <v/>
      </c>
      <c r="D61" s="6" t="str">
        <v/>
      </c>
      <c r="E61" s="6" t="str">
        <v>Diamond</v>
      </c>
      <c r="F61" s="6" t="str">
        <v>-</v>
      </c>
      <c r="G61" s="6" t="str">
        <v>-</v>
      </c>
      <c r="H61" s="6" t="str">
        <v>Dia</v>
      </c>
      <c r="I61" s="6">
        <v>0</v>
      </c>
      <c r="J61" s="6">
        <v>1.3</v>
      </c>
      <c r="K61" s="6">
        <v>28000</v>
      </c>
      <c r="L61" s="6">
        <f>J61*K61</f>
        <v>36400</v>
      </c>
      <c r="M61" s="11" t="str">
        <v/>
      </c>
      <c r="N61" s="11" t="str">
        <v/>
      </c>
      <c r="O61" s="11" t="str">
        <v/>
      </c>
    </row>
    <row r="62">
      <c r="A62" s="11" t="str">
        <v/>
      </c>
      <c r="B62" s="11" t="str">
        <v/>
      </c>
      <c r="C62" s="11" t="str">
        <v/>
      </c>
      <c r="D62" s="6" t="str">
        <v/>
      </c>
      <c r="E62" s="6" t="str">
        <v>labour</v>
      </c>
      <c r="F62" s="6">
        <v>3000</v>
      </c>
      <c r="G62" s="6" t="str">
        <v/>
      </c>
      <c r="H62" s="6" t="str">
        <v/>
      </c>
      <c r="I62" s="6" t="str">
        <v/>
      </c>
      <c r="J62" s="6" t="str">
        <v/>
      </c>
      <c r="K62" s="6" t="str">
        <v/>
      </c>
      <c r="L62" s="6" t="str">
        <v/>
      </c>
      <c r="M62" s="11" t="str">
        <v/>
      </c>
      <c r="N62" s="11" t="str">
        <v/>
      </c>
      <c r="O62" s="11" t="str">
        <v/>
      </c>
    </row>
    <row r="63">
      <c r="A63" s="12" t="str">
        <v/>
      </c>
      <c r="B63" s="12" t="str">
        <v/>
      </c>
      <c r="C63" s="12" t="str">
        <v/>
      </c>
      <c r="D63" s="6" t="str">
        <v/>
      </c>
      <c r="E63" s="6" t="str">
        <v>tk commission</v>
      </c>
      <c r="F63" s="6">
        <f>SUM(L59,L60,L61,F62)*VLOOKUP(SUM(L59,L60,L61,F62),'rates tk'!$B$5:$C$10,2,TRUE)</f>
        <v>8260.23</v>
      </c>
      <c r="G63" s="6" t="str">
        <v/>
      </c>
      <c r="H63" s="6" t="str">
        <v/>
      </c>
      <c r="I63" s="6" t="str">
        <v/>
      </c>
      <c r="J63" s="6" t="str">
        <v/>
      </c>
      <c r="K63" s="6" t="str">
        <v/>
      </c>
      <c r="L63" s="6" t="str">
        <v/>
      </c>
      <c r="M63" s="12" t="str">
        <v/>
      </c>
      <c r="N63" s="12" t="str">
        <v/>
      </c>
      <c r="O63" s="12" t="str">
        <v/>
      </c>
    </row>
    <row r="65">
      <c r="A65" s="3">
        <v>10</v>
      </c>
      <c r="B65" s="3" t="str">
        <v>Heart Emd Big Earring</v>
      </c>
      <c r="C65" s="10" t="str">
        <v>08/06/26</v>
      </c>
      <c r="D65" s="6">
        <v>14.5</v>
      </c>
      <c r="E65" s="6" t="str">
        <v>MTL</v>
      </c>
      <c r="F65" s="6">
        <v>9.32</v>
      </c>
      <c r="G65" s="6">
        <f>F65-((J66+J67+J68)/5)</f>
        <v>6.872</v>
      </c>
      <c r="H65" s="6" t="str">
        <v/>
      </c>
      <c r="I65" s="6" t="str">
        <v/>
      </c>
      <c r="J65" s="6" t="str">
        <v/>
      </c>
      <c r="K65" s="6">
        <f>($B$2/(10*24))*D65</f>
        <v>9666.666666666666</v>
      </c>
      <c r="L65" s="6">
        <f>G65*1.1500*K65</f>
        <v>76393.73333333332</v>
      </c>
      <c r="M65" s="10">
        <f>SUM(L65,L66,L67,L68,F69,F70)/5</f>
        <v>87367.43</v>
      </c>
      <c r="N65" s="10">
        <f>SUM(L65,L67,L68,(L66*0.5),F69,F70)/5</f>
        <v>61439.43</v>
      </c>
      <c r="O65" s="10">
        <f>((SUM(L65,L67,L68,F69,F70)*1.4)+(L66))/5</f>
        <v>101572</v>
      </c>
    </row>
    <row r="66">
      <c r="A66" s="11" t="str">
        <v/>
      </c>
      <c r="B66" s="11" t="str">
        <v/>
      </c>
      <c r="C66" s="11" t="str">
        <v/>
      </c>
      <c r="D66" s="6" t="str">
        <v/>
      </c>
      <c r="E66" s="6" t="str">
        <v>Emerald</v>
      </c>
      <c r="F66" s="6" t="str">
        <v>-</v>
      </c>
      <c r="G66" s="6" t="str">
        <v>-</v>
      </c>
      <c r="H66" s="6" t="str">
        <v>Emerald</v>
      </c>
      <c r="I66" s="6">
        <v>2</v>
      </c>
      <c r="J66" s="6">
        <v>9.26</v>
      </c>
      <c r="K66" s="6">
        <v>28000</v>
      </c>
      <c r="L66" s="6">
        <f>J66*K66</f>
        <v>259280</v>
      </c>
      <c r="M66" s="11" t="str">
        <v/>
      </c>
      <c r="N66" s="11" t="str">
        <v/>
      </c>
      <c r="O66" s="11" t="str">
        <v/>
      </c>
    </row>
    <row r="67">
      <c r="A67" s="11" t="str">
        <v/>
      </c>
      <c r="B67" s="11" t="str">
        <v/>
      </c>
      <c r="C67" s="11" t="str">
        <v/>
      </c>
      <c r="D67" s="6" t="str">
        <v/>
      </c>
      <c r="E67" s="6" t="str">
        <v>Diamond</v>
      </c>
      <c r="F67" s="6" t="str">
        <v>-</v>
      </c>
      <c r="G67" s="6" t="str">
        <v>-</v>
      </c>
      <c r="H67" s="6" t="str">
        <v>Dia mq</v>
      </c>
      <c r="I67" s="6">
        <v>0</v>
      </c>
      <c r="J67" s="6">
        <v>2.61</v>
      </c>
      <c r="K67" s="6">
        <v>28000</v>
      </c>
      <c r="L67" s="6">
        <f>J67*K67</f>
        <v>73080</v>
      </c>
      <c r="M67" s="11" t="str">
        <v/>
      </c>
      <c r="N67" s="11" t="str">
        <v/>
      </c>
      <c r="O67" s="11" t="str">
        <v/>
      </c>
    </row>
    <row r="68">
      <c r="A68" s="11" t="str">
        <v/>
      </c>
      <c r="B68" s="11" t="str">
        <v/>
      </c>
      <c r="C68" s="11" t="str">
        <v/>
      </c>
      <c r="D68" s="6" t="str">
        <v/>
      </c>
      <c r="E68" s="6" t="str">
        <v>Diamond</v>
      </c>
      <c r="F68" s="6" t="str">
        <v>-</v>
      </c>
      <c r="G68" s="6" t="str">
        <v>-</v>
      </c>
      <c r="H68" s="6" t="str">
        <v>Dia Pear</v>
      </c>
      <c r="I68" s="6">
        <v>0</v>
      </c>
      <c r="J68" s="6">
        <v>0.37</v>
      </c>
      <c r="K68" s="6">
        <v>28000</v>
      </c>
      <c r="L68" s="6">
        <f>J68*K68</f>
        <v>10360</v>
      </c>
      <c r="M68" s="11" t="str">
        <v/>
      </c>
      <c r="N68" s="11" t="str">
        <v/>
      </c>
      <c r="O68" s="11" t="str">
        <v/>
      </c>
    </row>
    <row r="69">
      <c r="A69" s="11" t="str">
        <v/>
      </c>
      <c r="B69" s="11" t="str">
        <v/>
      </c>
      <c r="C69" s="11" t="str">
        <v/>
      </c>
      <c r="D69" s="6" t="str">
        <v/>
      </c>
      <c r="E69" s="6" t="str">
        <v>labour</v>
      </c>
      <c r="F69" s="6">
        <v>5000</v>
      </c>
      <c r="G69" s="6" t="str">
        <v/>
      </c>
      <c r="H69" s="6" t="str">
        <v/>
      </c>
      <c r="I69" s="6" t="str">
        <v/>
      </c>
      <c r="J69" s="6" t="str">
        <v/>
      </c>
      <c r="K69" s="6" t="str">
        <v/>
      </c>
      <c r="L69" s="6" t="str">
        <v/>
      </c>
      <c r="M69" s="11" t="str">
        <v/>
      </c>
      <c r="N69" s="11" t="str">
        <v/>
      </c>
      <c r="O69" s="11" t="str">
        <v/>
      </c>
    </row>
    <row r="70">
      <c r="A70" s="12" t="str">
        <v/>
      </c>
      <c r="B70" s="12" t="str">
        <v/>
      </c>
      <c r="C70" s="12" t="str">
        <v/>
      </c>
      <c r="D70" s="6" t="str">
        <v/>
      </c>
      <c r="E70" s="6" t="str">
        <v>tk commission</v>
      </c>
      <c r="F70" s="6">
        <f>SUM(L65,L66,L67,L68,F69)*VLOOKUP(SUM(L65,L66,L67,L68,F69),'rates tk'!$B$5:$C$10,2,TRUE)</f>
        <v>12723.41</v>
      </c>
      <c r="G70" s="6" t="str">
        <v/>
      </c>
      <c r="H70" s="6" t="str">
        <v/>
      </c>
      <c r="I70" s="6" t="str">
        <v/>
      </c>
      <c r="J70" s="6" t="str">
        <v/>
      </c>
      <c r="K70" s="6" t="str">
        <v/>
      </c>
      <c r="L70" s="6" t="str">
        <v/>
      </c>
      <c r="M70" s="12" t="str">
        <v/>
      </c>
      <c r="N70" s="12" t="str">
        <v/>
      </c>
      <c r="O70" s="12" t="str">
        <v/>
      </c>
    </row>
    <row r="72">
      <c r="A72" s="3">
        <v>11</v>
      </c>
      <c r="B72" s="3" t="str">
        <v>Emd Pear+Polki Earring</v>
      </c>
      <c r="C72" s="10" t="str">
        <v>08/06/26</v>
      </c>
      <c r="D72" s="6">
        <v>14.5</v>
      </c>
      <c r="E72" s="6" t="str">
        <v>MTL</v>
      </c>
      <c r="F72" s="6">
        <v>8.25</v>
      </c>
      <c r="G72" s="6">
        <f>F72-((J73+J74+J75+J76+J77)/5)</f>
        <v>6.766</v>
      </c>
      <c r="H72" s="6" t="str">
        <v/>
      </c>
      <c r="I72" s="6" t="str">
        <v/>
      </c>
      <c r="J72" s="6" t="str">
        <v/>
      </c>
      <c r="K72" s="6">
        <f>($B$2/(10*24))*D72</f>
        <v>9666.666666666666</v>
      </c>
      <c r="L72" s="6">
        <f>G72*1.1500*K72</f>
        <v>75215.36666666665</v>
      </c>
      <c r="M72" s="10">
        <f>SUM(L72,L73,L74,L75,L76,L77,F78,F79)/5</f>
        <v>34229.18</v>
      </c>
      <c r="N72" s="10">
        <f>SUM(L72,L74,L75,L76,L77,(L73*0.5),F78,F79)/5</f>
        <v>30575.18</v>
      </c>
      <c r="O72" s="10">
        <f>((SUM(L72,L74,L75,L76,L77,F78,F79)*1.4)+(L73))/5</f>
        <v>44997.65</v>
      </c>
    </row>
    <row r="73">
      <c r="A73" s="11" t="str">
        <v/>
      </c>
      <c r="B73" s="11" t="str">
        <v/>
      </c>
      <c r="C73" s="11" t="str">
        <v/>
      </c>
      <c r="D73" s="6" t="str">
        <v/>
      </c>
      <c r="E73" s="6" t="str">
        <v>Emerald</v>
      </c>
      <c r="F73" s="6" t="str">
        <v>-</v>
      </c>
      <c r="G73" s="6" t="str">
        <v>-</v>
      </c>
      <c r="H73" s="6" t="str">
        <v>Emd</v>
      </c>
      <c r="I73" s="6">
        <v>0</v>
      </c>
      <c r="J73" s="6">
        <v>5.22</v>
      </c>
      <c r="K73" s="6">
        <v>7000</v>
      </c>
      <c r="L73" s="6">
        <f>J73*K73</f>
        <v>36540</v>
      </c>
      <c r="M73" s="11" t="str">
        <v/>
      </c>
      <c r="N73" s="11" t="str">
        <v/>
      </c>
      <c r="O73" s="11" t="str">
        <v/>
      </c>
    </row>
    <row r="74">
      <c r="A74" s="11" t="str">
        <v/>
      </c>
      <c r="B74" s="11" t="str">
        <v/>
      </c>
      <c r="C74" s="11" t="str">
        <v/>
      </c>
      <c r="D74" s="6" t="str">
        <v/>
      </c>
      <c r="E74" s="6" t="str">
        <v>Polki</v>
      </c>
      <c r="F74" s="6" t="str">
        <v>-</v>
      </c>
      <c r="G74" s="6" t="str">
        <v>-</v>
      </c>
      <c r="H74" s="6" t="str">
        <v>Polki</v>
      </c>
      <c r="I74" s="6">
        <v>0</v>
      </c>
      <c r="J74" s="6">
        <v>0.93</v>
      </c>
      <c r="K74" s="6">
        <v>30000</v>
      </c>
      <c r="L74" s="6">
        <f>J74*K74</f>
        <v>27900</v>
      </c>
      <c r="M74" s="11" t="str">
        <v/>
      </c>
      <c r="N74" s="11" t="str">
        <v/>
      </c>
      <c r="O74" s="11" t="str">
        <v/>
      </c>
    </row>
    <row r="75">
      <c r="A75" s="11" t="str">
        <v/>
      </c>
      <c r="B75" s="11" t="str">
        <v/>
      </c>
      <c r="C75" s="11" t="str">
        <v/>
      </c>
      <c r="D75" s="6" t="str">
        <v/>
      </c>
      <c r="E75" s="6" t="str">
        <v>Polki</v>
      </c>
      <c r="F75" s="6" t="str">
        <v>-</v>
      </c>
      <c r="G75" s="6" t="str">
        <v>-</v>
      </c>
      <c r="H75" s="6" t="str">
        <v>Dak</v>
      </c>
      <c r="I75" s="6">
        <v>0</v>
      </c>
      <c r="J75" s="6">
        <v>0.42</v>
      </c>
      <c r="K75" s="6">
        <v>0</v>
      </c>
      <c r="L75" s="6">
        <f>J75*K75</f>
        <v>0</v>
      </c>
      <c r="M75" s="11" t="str">
        <v/>
      </c>
      <c r="N75" s="11" t="str">
        <v/>
      </c>
      <c r="O75" s="11" t="str">
        <v/>
      </c>
    </row>
    <row r="76">
      <c r="A76" s="11" t="str">
        <v/>
      </c>
      <c r="B76" s="11" t="str">
        <v/>
      </c>
      <c r="C76" s="11" t="str">
        <v/>
      </c>
      <c r="D76" s="6" t="str">
        <v/>
      </c>
      <c r="E76" s="6" t="str">
        <v>Diamond</v>
      </c>
      <c r="F76" s="6" t="str">
        <v>-</v>
      </c>
      <c r="G76" s="6" t="str">
        <v>-</v>
      </c>
      <c r="H76" s="6" t="str">
        <v>Dia 2.4mm</v>
      </c>
      <c r="I76" s="6">
        <v>0</v>
      </c>
      <c r="J76" s="6">
        <v>0.11</v>
      </c>
      <c r="K76" s="6">
        <v>22000</v>
      </c>
      <c r="L76" s="6">
        <f>J76*K76</f>
        <v>2420</v>
      </c>
      <c r="M76" s="11" t="str">
        <v/>
      </c>
      <c r="N76" s="11" t="str">
        <v/>
      </c>
      <c r="O76" s="11" t="str">
        <v/>
      </c>
    </row>
    <row r="77">
      <c r="A77" s="11" t="str">
        <v/>
      </c>
      <c r="B77" s="11" t="str">
        <v/>
      </c>
      <c r="C77" s="11" t="str">
        <v/>
      </c>
      <c r="D77" s="6" t="str">
        <v/>
      </c>
      <c r="E77" s="6" t="str">
        <v>Diamond</v>
      </c>
      <c r="F77" s="6" t="str">
        <v>-</v>
      </c>
      <c r="G77" s="6" t="str">
        <v>-</v>
      </c>
      <c r="H77" s="6" t="str">
        <v>Dia +3</v>
      </c>
      <c r="I77" s="6">
        <v>0</v>
      </c>
      <c r="J77" s="6">
        <v>0.74</v>
      </c>
      <c r="K77" s="6">
        <v>21200</v>
      </c>
      <c r="L77" s="6">
        <f>J77*K77</f>
        <v>15688</v>
      </c>
      <c r="M77" s="11" t="str">
        <v/>
      </c>
      <c r="N77" s="11" t="str">
        <v/>
      </c>
      <c r="O77" s="11" t="str">
        <v/>
      </c>
    </row>
    <row r="78">
      <c r="A78" s="11" t="str">
        <v/>
      </c>
      <c r="B78" s="11" t="str">
        <v/>
      </c>
      <c r="C78" s="11" t="str">
        <v/>
      </c>
      <c r="D78" s="6" t="str">
        <v/>
      </c>
      <c r="E78" s="6" t="str">
        <v>labour</v>
      </c>
      <c r="F78" s="6">
        <v>6800</v>
      </c>
      <c r="G78" s="6" t="str">
        <v/>
      </c>
      <c r="H78" s="6" t="str">
        <v/>
      </c>
      <c r="I78" s="6" t="str">
        <v/>
      </c>
      <c r="J78" s="6" t="str">
        <v/>
      </c>
      <c r="K78" s="6" t="str">
        <v/>
      </c>
      <c r="L78" s="6" t="str">
        <v/>
      </c>
      <c r="M78" s="11" t="str">
        <v/>
      </c>
      <c r="N78" s="11" t="str">
        <v/>
      </c>
      <c r="O78" s="11" t="str">
        <v/>
      </c>
    </row>
    <row r="79">
      <c r="A79" s="12" t="str">
        <v/>
      </c>
      <c r="B79" s="12" t="str">
        <v/>
      </c>
      <c r="C79" s="12" t="str">
        <v/>
      </c>
      <c r="D79" s="6" t="str">
        <v/>
      </c>
      <c r="E79" s="6" t="str">
        <v>tk commission</v>
      </c>
      <c r="F79" s="6">
        <f>SUM(L72,L73,L74,L75,L76,L77,F78)*VLOOKUP(SUM(L72,L73,L74,L75,L76,L77,F78),'rates tk'!$B$5:$C$10,2,TRUE)</f>
        <v>6582.53</v>
      </c>
      <c r="G79" s="6" t="str">
        <v/>
      </c>
      <c r="H79" s="6" t="str">
        <v/>
      </c>
      <c r="I79" s="6" t="str">
        <v/>
      </c>
      <c r="J79" s="6" t="str">
        <v/>
      </c>
      <c r="K79" s="6" t="str">
        <v/>
      </c>
      <c r="L79" s="6" t="str">
        <v/>
      </c>
      <c r="M79" s="12" t="str">
        <v/>
      </c>
      <c r="N79" s="12" t="str">
        <v/>
      </c>
      <c r="O79" s="12" t="str">
        <v/>
      </c>
    </row>
    <row r="81">
      <c r="A81" s="3">
        <v>12</v>
      </c>
      <c r="B81" s="3" t="str">
        <v>Bracelet 9x7</v>
      </c>
      <c r="C81" s="10" t="str">
        <v>18/06/26</v>
      </c>
      <c r="D81" s="6">
        <v>14.5</v>
      </c>
      <c r="E81" s="6" t="str">
        <v>MTL</v>
      </c>
      <c r="F81" s="6">
        <v>23.7</v>
      </c>
      <c r="G81" s="6">
        <f>F81-((J82+J83)/5)</f>
        <v>16.669999999999998</v>
      </c>
      <c r="H81" s="6" t="str">
        <v/>
      </c>
      <c r="I81" s="6" t="str">
        <v/>
      </c>
      <c r="J81" s="6" t="str">
        <v/>
      </c>
      <c r="K81" s="6">
        <f>($B$2/(10*24))*D81</f>
        <v>9666.666666666666</v>
      </c>
      <c r="L81" s="6">
        <f>G81*1.1500*K81</f>
        <v>185314.83333333328</v>
      </c>
      <c r="M81" s="10">
        <f>SUM(L81,L82,L83,F84,F85)/5</f>
        <v>172684.95</v>
      </c>
      <c r="N81" s="10">
        <f>SUM(L81,L83,(L82*0.5),F84,F85)/5</f>
        <v>115066.95</v>
      </c>
      <c r="O81" s="10">
        <f>((SUM(L81,L83,F84,F85)*1.4)+(L82))/5</f>
        <v>195664.52</v>
      </c>
    </row>
    <row r="82">
      <c r="A82" s="11" t="str">
        <v/>
      </c>
      <c r="B82" s="11" t="str">
        <v/>
      </c>
      <c r="C82" s="11" t="str">
        <v/>
      </c>
      <c r="D82" s="6" t="str">
        <v/>
      </c>
      <c r="E82" s="6" t="str">
        <v>Emerald</v>
      </c>
      <c r="F82" s="6" t="str">
        <v>-</v>
      </c>
      <c r="G82" s="6" t="str">
        <v>-</v>
      </c>
      <c r="H82" s="6" t="str">
        <v>Ovals 9x7</v>
      </c>
      <c r="I82" s="6">
        <v>16</v>
      </c>
      <c r="J82" s="6">
        <v>32.01</v>
      </c>
      <c r="K82" s="6">
        <v>18000</v>
      </c>
      <c r="L82" s="6">
        <f>J82*K82</f>
        <v>576180</v>
      </c>
      <c r="M82" s="11" t="str">
        <v/>
      </c>
      <c r="N82" s="11" t="str">
        <v/>
      </c>
      <c r="O82" s="11" t="str">
        <v/>
      </c>
    </row>
    <row r="83">
      <c r="A83" s="11" t="str">
        <v/>
      </c>
      <c r="B83" s="11" t="str">
        <v/>
      </c>
      <c r="C83" s="11" t="str">
        <v/>
      </c>
      <c r="D83" s="6" t="str">
        <v/>
      </c>
      <c r="E83" s="6" t="str">
        <v>Diamond</v>
      </c>
      <c r="F83" s="6" t="str">
        <v>-</v>
      </c>
      <c r="G83" s="6" t="str">
        <v>-</v>
      </c>
      <c r="H83" s="6" t="str">
        <v>princess dia</v>
      </c>
      <c r="I83" s="6">
        <v>33</v>
      </c>
      <c r="J83" s="6">
        <v>3.14</v>
      </c>
      <c r="K83" s="6">
        <v>25000</v>
      </c>
      <c r="L83" s="6">
        <f>J83*K83</f>
        <v>78500</v>
      </c>
      <c r="M83" s="11" t="str">
        <v/>
      </c>
      <c r="N83" s="11" t="str">
        <v/>
      </c>
      <c r="O83" s="11" t="str">
        <v/>
      </c>
    </row>
    <row r="84">
      <c r="A84" s="11" t="str">
        <v/>
      </c>
      <c r="B84" s="11" t="str">
        <v/>
      </c>
      <c r="C84" s="11" t="str">
        <v/>
      </c>
      <c r="D84" s="6" t="str">
        <v/>
      </c>
      <c r="E84" s="6" t="str">
        <v>labour</v>
      </c>
      <c r="F84" s="6">
        <v>6500</v>
      </c>
      <c r="G84" s="6" t="str">
        <v/>
      </c>
      <c r="H84" s="6" t="str">
        <v/>
      </c>
      <c r="I84" s="6" t="str">
        <v/>
      </c>
      <c r="J84" s="6" t="str">
        <v/>
      </c>
      <c r="K84" s="6" t="str">
        <v/>
      </c>
      <c r="L84" s="6" t="str">
        <v/>
      </c>
      <c r="M84" s="11" t="str">
        <v/>
      </c>
      <c r="N84" s="11" t="str">
        <v/>
      </c>
      <c r="O84" s="11" t="str">
        <v/>
      </c>
    </row>
    <row r="85">
      <c r="A85" s="12" t="str">
        <v/>
      </c>
      <c r="B85" s="12" t="str">
        <v/>
      </c>
      <c r="C85" s="12" t="str">
        <v/>
      </c>
      <c r="D85" s="6" t="str">
        <v/>
      </c>
      <c r="E85" s="6" t="str">
        <v>tk commission</v>
      </c>
      <c r="F85" s="6">
        <f>SUM(L81,L82,L83,F84)*VLOOKUP(SUM(L81,L82,L83,F84),'rates tk'!$B$5:$C$10,2,TRUE)</f>
        <v>16929.9</v>
      </c>
      <c r="G85" s="6" t="str">
        <v/>
      </c>
      <c r="H85" s="6" t="str">
        <v/>
      </c>
      <c r="I85" s="6" t="str">
        <v/>
      </c>
      <c r="J85" s="6" t="str">
        <v/>
      </c>
      <c r="K85" s="6" t="str">
        <v/>
      </c>
      <c r="L85" s="6" t="str">
        <v/>
      </c>
      <c r="M85" s="12" t="str">
        <v/>
      </c>
      <c r="N85" s="12" t="str">
        <v/>
      </c>
      <c r="O85" s="12" t="str">
        <v/>
      </c>
    </row>
    <row r="87">
      <c r="A87" s="3" t="str">
        <v>GRAND TOTAL</v>
      </c>
      <c r="B87" s="3">
        <v>12</v>
      </c>
      <c r="C87" s="3" t="str">
        <v>pieces</v>
      </c>
      <c r="M87" s="13">
        <v>612533.12</v>
      </c>
      <c r="O87" s="13">
        <v>761381.2300000001</v>
      </c>
    </row>
  </sheetData>
  <ignoredErrors>
    <ignoredError numberStoredAsText="1" sqref="A1:O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C10"/>
  <sheetViews>
    <sheetView workbookViewId="0"/>
  </sheetViews>
  <cols>
    <col min="1" max="1" width="4.83203125" customWidth="1"/>
    <col min="2" max="2" width="12.83203125" customWidth="1"/>
    <col min="3" max="3" width="12.83203125" customWidth="1"/>
  </cols>
  <sheetData>
    <row r="3">
      <c r="B3" s="2" t="str">
        <v>rates TK</v>
      </c>
    </row>
    <row r="4">
      <c r="B4" s="2" t="str">
        <v>range</v>
      </c>
      <c r="C4" s="2" t="str">
        <v>percentage</v>
      </c>
    </row>
    <row r="5">
      <c r="B5" s="2">
        <v>0</v>
      </c>
      <c r="C5" s="2">
        <v>0.1</v>
      </c>
    </row>
    <row r="6">
      <c r="B6" s="2">
        <v>25000</v>
      </c>
      <c r="C6" s="2">
        <v>0.08</v>
      </c>
    </row>
    <row r="7">
      <c r="B7" s="2">
        <v>50000</v>
      </c>
      <c r="C7" s="2">
        <v>0.06</v>
      </c>
    </row>
    <row r="8">
      <c r="B8" s="2">
        <v>150000</v>
      </c>
      <c r="C8" s="2">
        <v>0.04</v>
      </c>
    </row>
    <row r="9">
      <c r="B9" s="2">
        <v>300000</v>
      </c>
      <c r="C9" s="2">
        <v>0.03</v>
      </c>
    </row>
    <row r="10">
      <c r="B10" s="2">
        <v>500000</v>
      </c>
      <c r="C10" s="2">
        <v>0.02</v>
      </c>
    </row>
  </sheetData>
  <ignoredErrors>
    <ignoredError numberStoredAsText="1" sqref="A3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latest price</vt:lpstr>
      <vt:lpstr>rates tk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